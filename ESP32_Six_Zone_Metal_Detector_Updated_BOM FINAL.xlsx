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13_ncr:1_{569AEAA7-6768-4925-B9C4-DCB7FA1F00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dated BOM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3" l="1"/>
</calcChain>
</file>

<file path=xl/sharedStrings.xml><?xml version="1.0" encoding="utf-8"?>
<sst xmlns="http://schemas.openxmlformats.org/spreadsheetml/2006/main" count="112" uniqueCount="93">
  <si>
    <t>Category</t>
  </si>
  <si>
    <t>Component</t>
  </si>
  <si>
    <t>Specification</t>
  </si>
  <si>
    <t>Qty</t>
  </si>
  <si>
    <t>Estimated Total (PHP)</t>
  </si>
  <si>
    <t>Notes</t>
  </si>
  <si>
    <t>Controller</t>
  </si>
  <si>
    <t>ESP32-WROOM-32 Development Board</t>
  </si>
  <si>
    <t>WiFi/Bluetooth ESP32 DevKit</t>
  </si>
  <si>
    <t>Single master controller for all 6 zones</t>
  </si>
  <si>
    <t>Display</t>
  </si>
  <si>
    <t>0.96 inch OLED I2C Display</t>
  </si>
  <si>
    <t>128x64 SSD1306</t>
  </si>
  <si>
    <t>User interface</t>
  </si>
  <si>
    <t>Power Supply</t>
  </si>
  <si>
    <t>24V Switching Power Supply</t>
  </si>
  <si>
    <t>24V 10A</t>
  </si>
  <si>
    <t>Main coil power</t>
  </si>
  <si>
    <t>Power Conversion</t>
  </si>
  <si>
    <t>DC Buck Converter</t>
  </si>
  <si>
    <t>24V to 5V 5A</t>
  </si>
  <si>
    <t>ESP32 peripherals</t>
  </si>
  <si>
    <t>3.3V LDO Regulator</t>
  </si>
  <si>
    <t>AMS1117 or similar</t>
  </si>
  <si>
    <t>ESP32 logic supply</t>
  </si>
  <si>
    <t>Zone Driver</t>
  </si>
  <si>
    <t>TC4420 MOSFET Driver</t>
  </si>
  <si>
    <t>High speed gate driver</t>
  </si>
  <si>
    <t>One per detection zone</t>
  </si>
  <si>
    <t>IRLZ44N MOSFET</t>
  </si>
  <si>
    <t>Logic level N-channel MOSFET</t>
  </si>
  <si>
    <t>One per coil driver</t>
  </si>
  <si>
    <t>Gate Resistors</t>
  </si>
  <si>
    <t>100 ohm + 10 ohm + 10k ohm sets</t>
  </si>
  <si>
    <t>MOSFET gate protection</t>
  </si>
  <si>
    <t>Protection</t>
  </si>
  <si>
    <t>Flyback Diode</t>
  </si>
  <si>
    <t>STPS20L45 / Schottky equivalent</t>
  </si>
  <si>
    <t>Coil spike protection</t>
  </si>
  <si>
    <t>Coil System</t>
  </si>
  <si>
    <t>Enamel Copper Wire</t>
  </si>
  <si>
    <t>0.5-0.8mm, approx 1kg</t>
  </si>
  <si>
    <t>Create six coils</t>
  </si>
  <si>
    <t>PVC Coil Frames</t>
  </si>
  <si>
    <t>25-30cm diameter</t>
  </si>
  <si>
    <t>Mechanical coil support</t>
  </si>
  <si>
    <t>Signal Conditioning</t>
  </si>
  <si>
    <t>OPA2134 Op Amp</t>
  </si>
  <si>
    <t>Instrumentation/signal amplifier</t>
  </si>
  <si>
    <t>One signal channel per zone</t>
  </si>
  <si>
    <t>PCB / Prototype Board</t>
  </si>
  <si>
    <t>Custom or perfboard</t>
  </si>
  <si>
    <t>Driver and amplifier assembly</t>
  </si>
  <si>
    <t>Indicators</t>
  </si>
  <si>
    <t>LED Indicators</t>
  </si>
  <si>
    <t>6 colors</t>
  </si>
  <si>
    <t>Zone status</t>
  </si>
  <si>
    <t>Audio</t>
  </si>
  <si>
    <t>Active Buzzer</t>
  </si>
  <si>
    <t>5V/12V module</t>
  </si>
  <si>
    <t>Alarm output</t>
  </si>
  <si>
    <t>Mechanical</t>
  </si>
  <si>
    <t>Walk-through Frame Materials</t>
  </si>
  <si>
    <t>PVC/aluminum frame</t>
  </si>
  <si>
    <t>Detector structure</t>
  </si>
  <si>
    <t>Tools</t>
  </si>
  <si>
    <t>Wires, connectors, heat shrink</t>
  </si>
  <si>
    <t>Prototype wiring materials</t>
  </si>
  <si>
    <t>Assembly materials</t>
  </si>
  <si>
    <t>TOTAL ESTIMATED PROJECT MATERIAL COST</t>
  </si>
  <si>
    <t>5V Active Buzzer</t>
  </si>
  <si>
    <t>Required</t>
  </si>
  <si>
    <t>Rotary Encoder</t>
  </si>
  <si>
    <t>KY-040 Module</t>
  </si>
  <si>
    <t>Optional</t>
  </si>
  <si>
    <t>Driver</t>
  </si>
  <si>
    <t>Heat Sink</t>
  </si>
  <si>
    <t>TO-220 MOSFET heatsink</t>
  </si>
  <si>
    <t>Coil Former</t>
  </si>
  <si>
    <t>Acrylic/FRP/PVC support</t>
  </si>
  <si>
    <t>Op Amp Filter Stage</t>
  </si>
  <si>
    <t>LM358 module/components</t>
  </si>
  <si>
    <t>Wiring</t>
  </si>
  <si>
    <t>Silicone Wire</t>
  </si>
  <si>
    <t>18-22 AWG assorted</t>
  </si>
  <si>
    <t>Hardware</t>
  </si>
  <si>
    <t>Terminal Blocks</t>
  </si>
  <si>
    <t>KF301 screw terminals</t>
  </si>
  <si>
    <t>PVC/Aluminum Frame Materials</t>
  </si>
  <si>
    <t>Walk-through structure</t>
  </si>
  <si>
    <t>Fasteners and Cable Management</t>
  </si>
  <si>
    <t>Screws, nuts, cable ties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</si>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</sst>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43" fontId="4" fillId="0" borderId="0" xfId="1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11DD-764F-46F3-BD58-156519488EA3}">
  <dimension ref="A1:G28"/>
  <sheetViews>
    <sheetView tabSelected="1" workbookViewId="0">
      <selection activeCell="C11" sqref="C11"/>
    </sheetView>
  </sheetViews>
  <sheetFormatPr defaultRowHeight="15" x14ac:dyDescent="0.25"/>
  <cols>
    <col min="1" max="1" width="13.85546875" style="3" customWidth="1"/>
    <col min="2" max="3" width="35" style="3" customWidth="1"/>
    <col min="4" max="4" width="8" style="3" customWidth="1"/>
    <col min="5" max="5" width="5.5703125" style="3" bestFit="1" customWidth="1"/>
    <col min="6" max="6" width="20.42578125" style="3" bestFit="1" customWidth="1"/>
    <col min="7" max="7" width="35" style="3" customWidth="1"/>
    <col min="8" max="16384" width="9.140625" style="3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</v>
      </c>
      <c r="F1" s="1" t="s">
        <v>4</v>
      </c>
      <c r="G1" s="1" t="s">
        <v>5</v>
      </c>
    </row>
    <row r="2" spans="1:7" s="3" customFormat="1" ht="30" x14ac:dyDescent="0.25">
      <c r="A2" s="2" t="s">
        <v>6</v>
      </c>
      <c r="B2" s="2" t="s">
        <v>7</v>
      </c>
      <c r="C2" s="2" t="s">
        <v>8</v>
      </c>
      <c r="D2" s="2">
        <v>1</v>
      </c>
      <c r="E2" s="2">
        <v>250</v>
      </c>
      <c r="F2" s="2">
        <v>250</v>
      </c>
      <c r="G2" s="2" t="s">
        <v>9</v>
      </c>
    </row>
    <row r="3" spans="1:7" s="3" customFormat="1" x14ac:dyDescent="0.25">
      <c r="A3" s="2" t="s">
        <v>10</v>
      </c>
      <c r="B3" s="2" t="s">
        <v>11</v>
      </c>
      <c r="C3" s="2" t="s">
        <v>12</v>
      </c>
      <c r="D3" s="2">
        <v>1</v>
      </c>
      <c r="E3" s="2">
        <v>150</v>
      </c>
      <c r="F3" s="2">
        <v>150</v>
      </c>
      <c r="G3" s="2" t="s">
        <v>13</v>
      </c>
    </row>
    <row r="4" spans="1:7" s="3" customFormat="1" x14ac:dyDescent="0.25">
      <c r="A4" s="2" t="s">
        <v>14</v>
      </c>
      <c r="B4" s="2" t="s">
        <v>15</v>
      </c>
      <c r="C4" s="2" t="s">
        <v>16</v>
      </c>
      <c r="D4" s="2">
        <v>1</v>
      </c>
      <c r="E4" s="2">
        <v>900</v>
      </c>
      <c r="F4" s="2">
        <v>900</v>
      </c>
      <c r="G4" s="2" t="s">
        <v>17</v>
      </c>
    </row>
    <row r="5" spans="1:7" s="3" customFormat="1" x14ac:dyDescent="0.25">
      <c r="A5" s="2" t="s">
        <v>18</v>
      </c>
      <c r="B5" s="2" t="s">
        <v>19</v>
      </c>
      <c r="C5" s="2" t="s">
        <v>20</v>
      </c>
      <c r="D5" s="2">
        <v>1</v>
      </c>
      <c r="E5" s="2">
        <v>200</v>
      </c>
      <c r="F5" s="2">
        <v>200</v>
      </c>
      <c r="G5" s="2" t="s">
        <v>21</v>
      </c>
    </row>
    <row r="6" spans="1:7" s="3" customFormat="1" x14ac:dyDescent="0.25">
      <c r="A6" s="2" t="s">
        <v>18</v>
      </c>
      <c r="B6" s="2" t="s">
        <v>22</v>
      </c>
      <c r="C6" s="2" t="s">
        <v>23</v>
      </c>
      <c r="D6" s="2">
        <v>1</v>
      </c>
      <c r="E6" s="2">
        <v>50</v>
      </c>
      <c r="F6" s="2">
        <v>50</v>
      </c>
      <c r="G6" s="2" t="s">
        <v>24</v>
      </c>
    </row>
    <row r="7" spans="1:7" s="3" customFormat="1" x14ac:dyDescent="0.25">
      <c r="A7" s="2" t="s">
        <v>25</v>
      </c>
      <c r="B7" s="2" t="s">
        <v>26</v>
      </c>
      <c r="C7" s="2" t="s">
        <v>27</v>
      </c>
      <c r="D7" s="2">
        <v>6</v>
      </c>
      <c r="E7" s="2">
        <v>80</v>
      </c>
      <c r="F7" s="2">
        <v>480</v>
      </c>
      <c r="G7" s="2" t="s">
        <v>28</v>
      </c>
    </row>
    <row r="8" spans="1:7" s="3" customFormat="1" x14ac:dyDescent="0.25">
      <c r="A8" s="2" t="s">
        <v>25</v>
      </c>
      <c r="B8" s="2" t="s">
        <v>29</v>
      </c>
      <c r="C8" s="2" t="s">
        <v>30</v>
      </c>
      <c r="D8" s="2">
        <v>6</v>
      </c>
      <c r="E8" s="2">
        <v>40</v>
      </c>
      <c r="F8" s="2">
        <v>240</v>
      </c>
      <c r="G8" s="2" t="s">
        <v>31</v>
      </c>
    </row>
    <row r="9" spans="1:7" s="3" customFormat="1" x14ac:dyDescent="0.25">
      <c r="A9" s="2" t="s">
        <v>25</v>
      </c>
      <c r="B9" s="2" t="s">
        <v>32</v>
      </c>
      <c r="C9" s="2" t="s">
        <v>33</v>
      </c>
      <c r="D9" s="2">
        <v>6</v>
      </c>
      <c r="E9" s="2">
        <v>30</v>
      </c>
      <c r="F9" s="2">
        <v>180</v>
      </c>
      <c r="G9" s="2" t="s">
        <v>34</v>
      </c>
    </row>
    <row r="10" spans="1:7" s="3" customFormat="1" x14ac:dyDescent="0.25">
      <c r="A10" s="2" t="s">
        <v>35</v>
      </c>
      <c r="B10" s="2" t="s">
        <v>36</v>
      </c>
      <c r="C10" s="2" t="s">
        <v>37</v>
      </c>
      <c r="D10" s="2">
        <v>6</v>
      </c>
      <c r="E10" s="2">
        <v>30</v>
      </c>
      <c r="F10" s="2">
        <v>180</v>
      </c>
      <c r="G10" s="2" t="s">
        <v>38</v>
      </c>
    </row>
    <row r="11" spans="1:7" s="3" customFormat="1" x14ac:dyDescent="0.25">
      <c r="A11" s="2" t="s">
        <v>39</v>
      </c>
      <c r="B11" s="2" t="s">
        <v>40</v>
      </c>
      <c r="C11" s="2" t="s">
        <v>41</v>
      </c>
      <c r="D11" s="2">
        <v>1</v>
      </c>
      <c r="E11" s="2">
        <v>1000</v>
      </c>
      <c r="F11" s="2">
        <v>1000</v>
      </c>
      <c r="G11" s="2" t="s">
        <v>42</v>
      </c>
    </row>
    <row r="12" spans="1:7" s="3" customFormat="1" x14ac:dyDescent="0.25">
      <c r="A12" s="2" t="s">
        <v>39</v>
      </c>
      <c r="B12" s="2" t="s">
        <v>43</v>
      </c>
      <c r="C12" s="2" t="s">
        <v>44</v>
      </c>
      <c r="D12" s="2">
        <v>6</v>
      </c>
      <c r="E12" s="2">
        <v>80</v>
      </c>
      <c r="F12" s="2">
        <v>480</v>
      </c>
      <c r="G12" s="2" t="s">
        <v>45</v>
      </c>
    </row>
    <row r="13" spans="1:7" s="3" customFormat="1" x14ac:dyDescent="0.25">
      <c r="A13" s="2" t="s">
        <v>46</v>
      </c>
      <c r="B13" s="2" t="s">
        <v>47</v>
      </c>
      <c r="C13" s="2" t="s">
        <v>48</v>
      </c>
      <c r="D13" s="2">
        <v>6</v>
      </c>
      <c r="E13" s="2">
        <v>200</v>
      </c>
      <c r="F13" s="2">
        <v>1200</v>
      </c>
      <c r="G13" s="2" t="s">
        <v>49</v>
      </c>
    </row>
    <row r="14" spans="1:7" s="3" customFormat="1" x14ac:dyDescent="0.25">
      <c r="A14" s="2" t="s">
        <v>46</v>
      </c>
      <c r="B14" s="2" t="s">
        <v>50</v>
      </c>
      <c r="C14" s="2" t="s">
        <v>51</v>
      </c>
      <c r="D14" s="2">
        <v>1</v>
      </c>
      <c r="E14" s="2">
        <v>800</v>
      </c>
      <c r="F14" s="2">
        <v>800</v>
      </c>
      <c r="G14" s="2" t="s">
        <v>52</v>
      </c>
    </row>
    <row r="15" spans="1:7" s="3" customFormat="1" x14ac:dyDescent="0.25">
      <c r="A15" s="2" t="s">
        <v>53</v>
      </c>
      <c r="B15" s="2" t="s">
        <v>54</v>
      </c>
      <c r="C15" s="2" t="s">
        <v>55</v>
      </c>
      <c r="D15" s="2">
        <v>1</v>
      </c>
      <c r="E15" s="2">
        <v>100</v>
      </c>
      <c r="F15" s="2">
        <v>100</v>
      </c>
      <c r="G15" s="2" t="s">
        <v>56</v>
      </c>
    </row>
    <row r="16" spans="1:7" s="3" customFormat="1" x14ac:dyDescent="0.25">
      <c r="A16" s="2" t="s">
        <v>57</v>
      </c>
      <c r="B16" s="2" t="s">
        <v>58</v>
      </c>
      <c r="C16" s="2" t="s">
        <v>59</v>
      </c>
      <c r="D16" s="2">
        <v>1</v>
      </c>
      <c r="E16" s="2">
        <v>50</v>
      </c>
      <c r="F16" s="2">
        <v>50</v>
      </c>
      <c r="G16" s="2" t="s">
        <v>60</v>
      </c>
    </row>
    <row r="17" spans="1:7" s="3" customFormat="1" x14ac:dyDescent="0.25">
      <c r="A17" s="2" t="s">
        <v>61</v>
      </c>
      <c r="B17" s="2" t="s">
        <v>62</v>
      </c>
      <c r="C17" s="2" t="s">
        <v>63</v>
      </c>
      <c r="D17" s="2">
        <v>1</v>
      </c>
      <c r="E17" s="2">
        <v>4000</v>
      </c>
      <c r="F17" s="2">
        <v>4000</v>
      </c>
      <c r="G17" s="2" t="s">
        <v>64</v>
      </c>
    </row>
    <row r="18" spans="1:7" s="3" customFormat="1" x14ac:dyDescent="0.25">
      <c r="A18" s="2" t="s">
        <v>65</v>
      </c>
      <c r="B18" s="2" t="s">
        <v>66</v>
      </c>
      <c r="C18" s="2" t="s">
        <v>67</v>
      </c>
      <c r="D18" s="2">
        <v>1</v>
      </c>
      <c r="E18" s="2">
        <v>1000</v>
      </c>
      <c r="F18" s="2">
        <v>1000</v>
      </c>
      <c r="G18" s="2" t="s">
        <v>68</v>
      </c>
    </row>
    <row r="19" spans="1:7" s="3" customFormat="1" x14ac:dyDescent="0.25">
      <c r="A19" s="2" t="s">
        <v>6</v>
      </c>
      <c r="B19" s="2" t="s">
        <v>58</v>
      </c>
      <c r="C19" s="2" t="s">
        <v>70</v>
      </c>
      <c r="D19" s="2">
        <v>1</v>
      </c>
      <c r="E19" s="2">
        <v>30</v>
      </c>
      <c r="F19" s="2">
        <v>30</v>
      </c>
      <c r="G19" s="2" t="s">
        <v>71</v>
      </c>
    </row>
    <row r="20" spans="1:7" s="3" customFormat="1" x14ac:dyDescent="0.25">
      <c r="A20" s="2" t="s">
        <v>6</v>
      </c>
      <c r="B20" s="2" t="s">
        <v>72</v>
      </c>
      <c r="C20" s="2" t="s">
        <v>73</v>
      </c>
      <c r="D20" s="2">
        <v>1</v>
      </c>
      <c r="E20" s="2">
        <v>50</v>
      </c>
      <c r="F20" s="2">
        <v>50</v>
      </c>
      <c r="G20" s="2" t="s">
        <v>74</v>
      </c>
    </row>
    <row r="21" spans="1:7" s="3" customFormat="1" x14ac:dyDescent="0.25">
      <c r="A21" s="2" t="s">
        <v>75</v>
      </c>
      <c r="B21" s="2" t="s">
        <v>76</v>
      </c>
      <c r="C21" s="2" t="s">
        <v>77</v>
      </c>
      <c r="D21" s="2">
        <v>6</v>
      </c>
      <c r="E21" s="2">
        <v>25</v>
      </c>
      <c r="F21" s="2">
        <v>150</v>
      </c>
      <c r="G21" s="2" t="s">
        <v>71</v>
      </c>
    </row>
    <row r="22" spans="1:7" s="3" customFormat="1" x14ac:dyDescent="0.25">
      <c r="A22" s="2" t="s">
        <v>39</v>
      </c>
      <c r="B22" s="2" t="s">
        <v>78</v>
      </c>
      <c r="C22" s="2" t="s">
        <v>79</v>
      </c>
      <c r="D22" s="2">
        <v>6</v>
      </c>
      <c r="E22" s="2">
        <v>150</v>
      </c>
      <c r="F22" s="2">
        <v>900</v>
      </c>
      <c r="G22" s="2" t="s">
        <v>71</v>
      </c>
    </row>
    <row r="23" spans="1:7" s="3" customFormat="1" x14ac:dyDescent="0.25">
      <c r="A23" s="2" t="s">
        <v>46</v>
      </c>
      <c r="B23" s="2" t="s">
        <v>80</v>
      </c>
      <c r="C23" s="2" t="s">
        <v>81</v>
      </c>
      <c r="D23" s="2">
        <v>6</v>
      </c>
      <c r="E23" s="2">
        <v>40</v>
      </c>
      <c r="F23" s="2">
        <v>240</v>
      </c>
      <c r="G23" s="2" t="s">
        <v>71</v>
      </c>
    </row>
    <row r="24" spans="1:7" s="3" customFormat="1" x14ac:dyDescent="0.25">
      <c r="A24" s="2" t="s">
        <v>82</v>
      </c>
      <c r="B24" s="2" t="s">
        <v>83</v>
      </c>
      <c r="C24" s="2" t="s">
        <v>84</v>
      </c>
      <c r="D24" s="2">
        <v>1</v>
      </c>
      <c r="E24" s="2">
        <v>500</v>
      </c>
      <c r="F24" s="2">
        <v>500</v>
      </c>
      <c r="G24" s="2" t="s">
        <v>71</v>
      </c>
    </row>
    <row r="25" spans="1:7" s="3" customFormat="1" x14ac:dyDescent="0.25">
      <c r="A25" s="2" t="s">
        <v>85</v>
      </c>
      <c r="B25" s="2" t="s">
        <v>86</v>
      </c>
      <c r="C25" s="2" t="s">
        <v>87</v>
      </c>
      <c r="D25" s="2">
        <v>1</v>
      </c>
      <c r="E25" s="2">
        <v>300</v>
      </c>
      <c r="F25" s="2">
        <v>300</v>
      </c>
      <c r="G25" s="2" t="s">
        <v>71</v>
      </c>
    </row>
    <row r="26" spans="1:7" s="3" customFormat="1" x14ac:dyDescent="0.25">
      <c r="A26" s="2" t="s">
        <v>61</v>
      </c>
      <c r="B26" s="2" t="s">
        <v>88</v>
      </c>
      <c r="C26" s="2" t="s">
        <v>89</v>
      </c>
      <c r="D26" s="2">
        <v>1</v>
      </c>
      <c r="E26" s="2">
        <v>6000</v>
      </c>
      <c r="F26" s="2">
        <v>6000</v>
      </c>
      <c r="G26" s="2" t="s">
        <v>71</v>
      </c>
    </row>
    <row r="27" spans="1:7" s="3" customFormat="1" x14ac:dyDescent="0.25">
      <c r="A27" s="2" t="s">
        <v>61</v>
      </c>
      <c r="B27" s="2" t="s">
        <v>90</v>
      </c>
      <c r="C27" s="2" t="s">
        <v>91</v>
      </c>
      <c r="D27" s="2">
        <v>1</v>
      </c>
      <c r="E27" s="2">
        <v>1000</v>
      </c>
      <c r="F27" s="2">
        <v>1000</v>
      </c>
      <c r="G27" s="2" t="s">
        <v>71</v>
      </c>
    </row>
    <row r="28" spans="1:7" s="3" customFormat="1" ht="30" x14ac:dyDescent="0.25">
      <c r="A28" s="2" t="s">
        <v>69</v>
      </c>
      <c r="B28" s="2"/>
      <c r="C28" s="2"/>
      <c r="D28" s="2"/>
      <c r="E28" s="2"/>
      <c r="F28" s="4">
        <f>SUM(F2:F27)</f>
        <v>20430</v>
      </c>
      <c r="G2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</cp:lastModifiedBy>
  <dcterms:created xsi:type="dcterms:W3CDTF">2026-09-26T04:23:54Z</dcterms:created>
  <dcterms:modified xsi:type="dcterms:W3CDTF">2026-09-27T07:14:31Z</dcterms:modified>
</cp:coreProperties>
</file>